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62226D01-D64D-4BCE-8397-1A96F709E4D9}" xr6:coauthVersionLast="47" xr6:coauthVersionMax="47" xr10:uidLastSave="{00000000-0000-0000-0000-000000000000}"/>
  <bookViews>
    <workbookView xWindow="-120" yWindow="-120" windowWidth="20730" windowHeight="11160" activeTab="1" xr2:uid="{5A7D3A10-DF14-4880-B8A8-AE22C9ABDFDB}"/>
  </bookViews>
  <sheets>
    <sheet name="Serviços" sheetId="1" r:id="rId1"/>
    <sheet name="Ordem de Serviço" sheetId="2" r:id="rId2"/>
    <sheet name="Clientes" sheetId="3" r:id="rId3"/>
  </sheets>
  <definedNames>
    <definedName name="_xlnm.Print_Area" localSheetId="1">'Ordem de Serviço'!$B$1:$F$38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C20" i="2"/>
  <c r="E20" i="2"/>
  <c r="C22" i="2"/>
  <c r="E22" i="2"/>
  <c r="F15" i="2"/>
  <c r="F23" i="2"/>
  <c r="C12" i="2"/>
  <c r="B12" i="2"/>
  <c r="E12" i="2"/>
  <c r="C15" i="2"/>
  <c r="F20" i="2" l="1"/>
  <c r="F24" i="2"/>
  <c r="F22" i="2" l="1"/>
  <c r="F25" i="2" s="1"/>
  <c r="F26" i="2" s="1"/>
</calcChain>
</file>

<file path=xl/sharedStrings.xml><?xml version="1.0" encoding="utf-8"?>
<sst xmlns="http://schemas.openxmlformats.org/spreadsheetml/2006/main" count="270" uniqueCount="257">
  <si>
    <t>Código</t>
  </si>
  <si>
    <t>Serviço</t>
  </si>
  <si>
    <t>Valor (R$)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</si>
  <si>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</si>
  <si>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</si>
  <si>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</si>
  <si>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</si>
  <si>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</si>
  <si>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</si>
  <si>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</si>
  <si>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</si>
  <si>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</si>
  <si>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</si>
  <si>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</si>
  <si>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Instalação de memória RAM</t>
  </si>
  <si>
    <t>S012</t>
  </si>
  <si>
    <t>Instalação de placa de vídeo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</si>
  <si>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</si>
  <si>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</si>
  <si>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</si>
  <si>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</si>
  <si>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</si>
  <si>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</si>
  <si>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</si>
  <si>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</si>
  <si>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</si>
  <si>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</si>
  <si>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</si>
  <si>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I001</t>
  </si>
  <si>
    <t>SSD TeamGroup GX1 120 GB</t>
  </si>
  <si>
    <t>I002</t>
  </si>
  <si>
    <t>SSD KingSpec 120 GB</t>
  </si>
  <si>
    <t>I003</t>
  </si>
  <si>
    <t>Pilha CR2032 3V</t>
  </si>
  <si>
    <t>I004</t>
  </si>
  <si>
    <t>Air Cooler Redragon Tyr 120 mm C-9104B</t>
  </si>
  <si>
    <t>Telefone: (47) 9 9733-1906 | E-mail: lsainfo.informatica@gmail.com</t>
  </si>
  <si>
    <t>Data</t>
  </si>
  <si>
    <t>Cliente</t>
  </si>
  <si>
    <t>Telefone</t>
  </si>
  <si>
    <t>Data de Entrega</t>
  </si>
  <si>
    <t>Roger Silva</t>
  </si>
  <si>
    <t>(47) 9 8847-1281</t>
  </si>
  <si>
    <t>Qtd</t>
  </si>
  <si>
    <t>Valor Unitário (R$)</t>
  </si>
  <si>
    <t>Subtotal (R$)</t>
  </si>
  <si>
    <t>Observações:</t>
  </si>
  <si>
    <t>Nome</t>
  </si>
  <si>
    <t>código</t>
  </si>
  <si>
    <t>Carlos Cabreira</t>
  </si>
  <si>
    <t xml:space="preserve"> (51) 9 9287-1894</t>
  </si>
  <si>
    <t>C001</t>
  </si>
  <si>
    <t>Ozeias Borba (Porto Veículos)</t>
  </si>
  <si>
    <t xml:space="preserve"> (47) 9 9196-8557</t>
  </si>
  <si>
    <t>C002</t>
  </si>
  <si>
    <t>I005</t>
  </si>
  <si>
    <t xml:space="preserve"> Fonte Genérica</t>
  </si>
  <si>
    <t>ITENS</t>
  </si>
  <si>
    <t>C003</t>
  </si>
  <si>
    <t>Código Cliente</t>
  </si>
  <si>
    <t>C004</t>
  </si>
  <si>
    <t>Nona Carboni (Padaria)</t>
  </si>
  <si>
    <t>(47) 9 9916-0499</t>
  </si>
  <si>
    <t/>
  </si>
  <si>
    <t>C005</t>
  </si>
  <si>
    <t>Matheus Germano</t>
  </si>
  <si>
    <t>C006</t>
  </si>
  <si>
    <t>Manoel Junior</t>
  </si>
  <si>
    <t>(47) 9 9164-8156</t>
  </si>
  <si>
    <t>(47) 9 8821-4406</t>
  </si>
  <si>
    <t>C007</t>
  </si>
  <si>
    <t>Paulo Sérgio</t>
  </si>
  <si>
    <t>(47) 9 9691-2023</t>
  </si>
  <si>
    <t>C008</t>
  </si>
  <si>
    <t>Jackson Camilo</t>
  </si>
  <si>
    <t>(47) 9 9129-1077</t>
  </si>
  <si>
    <t>C009</t>
  </si>
  <si>
    <t>Marcelo Araújo</t>
  </si>
  <si>
    <t>(47) 9 9191-1237</t>
  </si>
  <si>
    <t>C010</t>
  </si>
  <si>
    <t>Valter Veneri</t>
  </si>
  <si>
    <t>(47) 9 9286-8121</t>
  </si>
  <si>
    <t>C011</t>
  </si>
  <si>
    <t>Matheus Ataide</t>
  </si>
  <si>
    <t>(47) 9 9289-0862</t>
  </si>
  <si>
    <t>I006</t>
  </si>
  <si>
    <t>SSD NVME M2 UP Gamer UP3000 256GB</t>
  </si>
  <si>
    <t>I007</t>
  </si>
  <si>
    <t>Cabo Sata (Pacote com 2 cabos)</t>
  </si>
  <si>
    <t>C012</t>
  </si>
  <si>
    <t>Matheus Furtado</t>
  </si>
  <si>
    <t>(47) 9 8465-5994</t>
  </si>
  <si>
    <t>I008</t>
  </si>
  <si>
    <t>Placa de Vídeo AMD Radeon RX550 4GB GDDR5</t>
  </si>
  <si>
    <t>C013</t>
  </si>
  <si>
    <t>Adriano Moura</t>
  </si>
  <si>
    <t>(47) 9 8912-6099</t>
  </si>
  <si>
    <t>I009</t>
  </si>
  <si>
    <t>Fonte universal de notebook + cabo de força</t>
  </si>
  <si>
    <t>C014</t>
  </si>
  <si>
    <t>Gabriela</t>
  </si>
  <si>
    <t>(47) 9 8855-7192</t>
  </si>
  <si>
    <t>S024</t>
  </si>
  <si>
    <t>C015</t>
  </si>
  <si>
    <t>Iagan</t>
  </si>
  <si>
    <t>(47) 9 9239-3564</t>
  </si>
  <si>
    <t>C016</t>
  </si>
  <si>
    <t>Andreza Roberta</t>
  </si>
  <si>
    <t>(47) 9 3381-6102</t>
  </si>
  <si>
    <t>C017</t>
  </si>
  <si>
    <t>Santos Movimentação de Cargas</t>
  </si>
  <si>
    <t>(47) 9 9682-7129</t>
  </si>
  <si>
    <t>C018</t>
  </si>
  <si>
    <t>Rafa Parteka</t>
  </si>
  <si>
    <t>(42) 9 9154-7413</t>
  </si>
  <si>
    <t>I010</t>
  </si>
  <si>
    <t>Memória Ram Pc Hawking DDR4 8 GB 2666mhz</t>
  </si>
  <si>
    <t>C019</t>
  </si>
  <si>
    <t>Douglas Augusto</t>
  </si>
  <si>
    <t>(47) 9 8886-2684</t>
  </si>
  <si>
    <t>Atualização de BIOS</t>
  </si>
  <si>
    <t>I011</t>
  </si>
  <si>
    <t>Cabo de Energia</t>
  </si>
  <si>
    <t>I012</t>
  </si>
  <si>
    <t>Fonte de Energia Fortrek PWS - 2003 200W</t>
  </si>
  <si>
    <t>C020</t>
  </si>
  <si>
    <t>Suélen Fernanda</t>
  </si>
  <si>
    <t>(48) 9 9138-5271</t>
  </si>
  <si>
    <t>C021</t>
  </si>
  <si>
    <t>Jordão</t>
  </si>
  <si>
    <t>(48) 9 9623-4443</t>
  </si>
  <si>
    <t>S025</t>
  </si>
  <si>
    <t>Diagnóstico de Teclado (Notebook)</t>
  </si>
  <si>
    <r>
      <t xml:space="preserve">PAGAMENTO VIA PIX
(47) 997956534
</t>
    </r>
    <r>
      <rPr>
        <sz val="10"/>
        <color theme="1"/>
        <rFont val="Aptos Narrow"/>
        <family val="2"/>
        <scheme val="minor"/>
      </rPr>
      <t>(Lucas Souza do Amarante)</t>
    </r>
  </si>
  <si>
    <t>C022</t>
  </si>
  <si>
    <t>Othon</t>
  </si>
  <si>
    <t>(45) 9 9149-7404</t>
  </si>
  <si>
    <t>C023</t>
  </si>
  <si>
    <t>Teli</t>
  </si>
  <si>
    <t>(47) 9 8481-2932</t>
  </si>
  <si>
    <t>C024</t>
  </si>
  <si>
    <t>Luiz</t>
  </si>
  <si>
    <t>(47) 9 9290-4926</t>
  </si>
  <si>
    <t>I013</t>
  </si>
  <si>
    <t>Placa mãe B75 PCYES</t>
  </si>
  <si>
    <t>C025</t>
  </si>
  <si>
    <t>(47) 9 9153-7396</t>
  </si>
  <si>
    <t>C026</t>
  </si>
  <si>
    <t>Pedro</t>
  </si>
  <si>
    <t>(47) 9 9949-3630</t>
  </si>
  <si>
    <t>Rogério Junior</t>
  </si>
  <si>
    <t>I014</t>
  </si>
  <si>
    <t>HDD Seagate 500GB</t>
  </si>
  <si>
    <t>I015</t>
  </si>
  <si>
    <t>Case Para HDD F3 - USB 3.0</t>
  </si>
  <si>
    <t>C027</t>
  </si>
  <si>
    <t>Cristiana</t>
  </si>
  <si>
    <t>(47) 9 9175-1196</t>
  </si>
  <si>
    <t>C028</t>
  </si>
  <si>
    <t>Anielly</t>
  </si>
  <si>
    <t>(47) 9 9670-2460</t>
  </si>
  <si>
    <t>I016</t>
  </si>
  <si>
    <t>Bateria para notebook Acer Aspire  4400mAh</t>
  </si>
  <si>
    <t>I017</t>
  </si>
  <si>
    <t xml:space="preserve">Teclado para notebook Acer Aspire </t>
  </si>
  <si>
    <t>S026</t>
  </si>
  <si>
    <t>Troca de bateria notebook</t>
  </si>
  <si>
    <t>D001</t>
  </si>
  <si>
    <t>C029</t>
  </si>
  <si>
    <t>Ruan Borges</t>
  </si>
  <si>
    <t>(47) 9 9733-4630</t>
  </si>
  <si>
    <t>I018</t>
  </si>
  <si>
    <t>Placa de rede Intel Dual Band Wireless AC 3160</t>
  </si>
  <si>
    <t>I019</t>
  </si>
  <si>
    <t xml:space="preserve">Fonte de Alimentação MA500W </t>
  </si>
  <si>
    <t xml:space="preserve">Diagnóstico </t>
  </si>
  <si>
    <t>C030</t>
  </si>
  <si>
    <t>Felipe</t>
  </si>
  <si>
    <t>(47) 9 9609-3059</t>
  </si>
  <si>
    <t>I020</t>
  </si>
  <si>
    <t>Fonte de Alimentação C3Tech C3plus Ps-200v4 - 200w</t>
  </si>
  <si>
    <t>C031</t>
  </si>
  <si>
    <t>Tais Leal</t>
  </si>
  <si>
    <t>(47) 99623-2824</t>
  </si>
  <si>
    <t>I021</t>
  </si>
  <si>
    <t>Teclado para notebook Samsung RV420</t>
  </si>
  <si>
    <t>I022</t>
  </si>
  <si>
    <t>SSD 120 GB</t>
  </si>
  <si>
    <t>C032</t>
  </si>
  <si>
    <t>Caio</t>
  </si>
  <si>
    <t>(71) 99124-1609</t>
  </si>
  <si>
    <t>Limpeza +Troca de pasta térmica de notebook</t>
  </si>
  <si>
    <t>S027</t>
  </si>
  <si>
    <t>Instalação de Fans</t>
  </si>
  <si>
    <t>I023</t>
  </si>
  <si>
    <t>Adapatador Caddy para HDD</t>
  </si>
  <si>
    <t>Observação</t>
  </si>
  <si>
    <t>Formatação simples</t>
  </si>
  <si>
    <t>Formatação premium</t>
  </si>
  <si>
    <t>Formatação + backup</t>
  </si>
  <si>
    <t>Backup básico incluso</t>
  </si>
  <si>
    <t>Limpeza desktop</t>
  </si>
  <si>
    <t>Limpeza notebook</t>
  </si>
  <si>
    <t>Upgrade SSD (mão de obra)</t>
  </si>
  <si>
    <t>Conforme integridade do HD</t>
  </si>
  <si>
    <t>Compatibilidade e testes</t>
  </si>
  <si>
    <t>Organização de cabos</t>
  </si>
  <si>
    <t>Troca de fonte</t>
  </si>
  <si>
    <t>Clonagem HD → SSD</t>
  </si>
  <si>
    <t>Instalação de fans</t>
  </si>
  <si>
    <t>Troca de teclado notebook</t>
  </si>
  <si>
    <t>Troca de tela notebook</t>
  </si>
  <si>
    <t>Reparo de carcaça</t>
  </si>
  <si>
    <t>Sob avaliação</t>
  </si>
  <si>
    <t>Instalação limpa do sistema e drivers</t>
  </si>
  <si>
    <t>Drivers, Office, apps e otimização</t>
  </si>
  <si>
    <t>Limpeza interna e revisão</t>
  </si>
  <si>
    <t>Limpeza + troca de pasta térmica</t>
  </si>
  <si>
    <t>Limpeza notebook gamer</t>
  </si>
  <si>
    <t>Maior complexidade de desmontagem</t>
  </si>
  <si>
    <t>SSD cobrado separadamente</t>
  </si>
  <si>
    <t>Fonte cobrada separadamente</t>
  </si>
  <si>
    <t>Melhoria de airflow e acabamento</t>
  </si>
  <si>
    <t>Montagem de computador</t>
  </si>
  <si>
    <t>Montagem completa e testes</t>
  </si>
  <si>
    <t>A partir de R$ 120</t>
  </si>
  <si>
    <t>Peça separada</t>
  </si>
  <si>
    <t>A partir de R$ 150</t>
  </si>
  <si>
    <t>Troca de dobradiça</t>
  </si>
  <si>
    <t>Conforme desmontagem</t>
  </si>
  <si>
    <t>Troca de conector DC Jack</t>
  </si>
  <si>
    <t>Necessita análise técnica</t>
  </si>
  <si>
    <t>Atualização/regravação BIOS</t>
  </si>
  <si>
    <t>Conforme equipamento</t>
  </si>
  <si>
    <t>Conforme dano</t>
  </si>
  <si>
    <t>Preço por cada Fan Inclui instalação e testes</t>
  </si>
  <si>
    <t>A partir de R$ 80</t>
  </si>
  <si>
    <t>Política de Descontos</t>
  </si>
  <si>
    <t>Primeiro atendimento</t>
  </si>
  <si>
    <t>Pagamento via PIX</t>
  </si>
  <si>
    <t>5%</t>
  </si>
  <si>
    <t>D002</t>
  </si>
  <si>
    <t>D003</t>
  </si>
  <si>
    <t>Total Final (R$):</t>
  </si>
  <si>
    <t>Total</t>
  </si>
  <si>
    <t>Desconto</t>
  </si>
  <si>
    <t>7%</t>
  </si>
  <si>
    <t>2%</t>
  </si>
  <si>
    <t>Diagnóstico</t>
  </si>
  <si>
    <t>Suporte Técnico</t>
  </si>
  <si>
    <t>Varia, depende do que for fazer. R$ 60 a R$100</t>
  </si>
  <si>
    <t>C033</t>
  </si>
  <si>
    <t>Sandra Vilasante</t>
  </si>
  <si>
    <t>(47) 99660-0320</t>
  </si>
  <si>
    <t>S028</t>
  </si>
  <si>
    <t>Datas comemorativas (Dia das Mães)</t>
  </si>
  <si>
    <r>
      <rPr>
        <sz val="10"/>
        <color theme="1"/>
        <rFont val="Aptos Narrow"/>
        <family val="2"/>
        <scheme val="minor"/>
      </rPr>
      <t>REALIZADAS AS CONFIGURAÇÕES DE E-MAIL MICROSOFT E GMAIL, COMO SOLICITADO.</t>
    </r>
    <r>
      <rPr>
        <sz val="8"/>
        <color theme="1"/>
        <rFont val="Aptos Narrow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</si>
</sst>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name val="Calibri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51D41"/>
        <bgColor indexed="64"/>
      </patternFill>
    </fill>
    <fill>
      <patternFill patternType="solid">
        <fgColor rgb="FFEEF6FF"/>
        <bgColor rgb="FFEEF6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3A7BD5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14" fontId="3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5" xfId="0" applyBorder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2" fillId="5" borderId="4" xfId="0" applyFont="1" applyFill="1" applyBorder="1" applyAlignment="1">
      <alignment horizontal="left"/>
    </xf>
    <xf numFmtId="14" fontId="0" fillId="0" borderId="5" xfId="0" quotePrefix="1" applyNumberFormat="1" applyBorder="1" applyAlignment="1">
      <alignment horizontal="center" vertical="center"/>
    </xf>
    <xf numFmtId="0" fontId="2" fillId="5" borderId="7" xfId="0" applyFont="1" applyFill="1" applyBorder="1" applyAlignment="1">
      <alignment horizontal="left"/>
    </xf>
    <xf numFmtId="0" fontId="12" fillId="0" borderId="0" xfId="0" applyFont="1"/>
    <xf numFmtId="165" fontId="12" fillId="0" borderId="0" xfId="0" applyNumberFormat="1" applyFont="1"/>
    <xf numFmtId="164" fontId="1" fillId="3" borderId="4" xfId="0" applyNumberFormat="1" applyFont="1" applyFill="1" applyBorder="1" applyAlignment="1">
      <alignment horizontal="center"/>
    </xf>
    <xf numFmtId="49" fontId="0" fillId="0" borderId="0" xfId="0" applyNumberFormat="1"/>
    <xf numFmtId="49" fontId="10" fillId="0" borderId="9" xfId="0" applyNumberFormat="1" applyFon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11" xfId="0" applyNumberFormat="1" applyBorder="1" applyAlignment="1">
      <alignment horizontal="left" vertical="top" wrapText="1"/>
    </xf>
    <xf numFmtId="49" fontId="0" fillId="0" borderId="12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13" xfId="0" applyNumberFormat="1" applyBorder="1" applyAlignment="1">
      <alignment horizontal="left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0" fillId="2" borderId="0" xfId="0" applyFill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920564</xdr:colOff>
      <xdr:row>0</xdr:row>
      <xdr:rowOff>111498</xdr:rowOff>
    </xdr:from>
    <xdr:ext cx="3705225" cy="158115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EC63616D-E391-4AE5-B3CD-D40E694A5A5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2564" y="111498"/>
          <a:ext cx="3705225" cy="1581150"/>
        </a:xfrm>
        <a:prstGeom prst="rect">
          <a:avLst/>
        </a:prstGeom>
      </xdr:spPr>
    </xdr:pic>
    <xdr:clientData/>
  </xdr:oneCellAnchor>
  <xdr:twoCellAnchor editAs="oneCell">
    <xdr:from>
      <xdr:col>0</xdr:col>
      <xdr:colOff>352424</xdr:colOff>
      <xdr:row>27</xdr:row>
      <xdr:rowOff>76200</xdr:rowOff>
    </xdr:from>
    <xdr:to>
      <xdr:col>2</xdr:col>
      <xdr:colOff>552449</xdr:colOff>
      <xdr:row>33</xdr:row>
      <xdr:rowOff>76200</xdr:rowOff>
    </xdr:to>
    <xdr:pic>
      <xdr:nvPicPr>
        <xdr:cNvPr id="2" name="Imagem 1" descr="qr code pix">
          <a:extLst>
            <a:ext uri="{FF2B5EF4-FFF2-40B4-BE49-F238E27FC236}">
              <a16:creationId xmlns:a16="http://schemas.microsoft.com/office/drawing/2014/main" id="{6881F7CF-F9FF-5C0E-CA5B-76981AF4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5448300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8756-7234-4AAD-8BA0-ABF768EACC07}">
  <dimension ref="A1:D58"/>
  <sheetViews>
    <sheetView topLeftCell="A18" workbookViewId="0">
      <selection activeCell="C30" sqref="C30"/>
    </sheetView>
  </sheetViews>
  <sheetFormatPr defaultRowHeight="15" x14ac:dyDescent="0.25"/>
  <cols>
    <col min="1" max="1" width="10" customWidth="1"/>
    <col min="2" max="2" width="60" customWidth="1"/>
    <col min="3" max="3" width="16.140625" style="3" bestFit="1" customWidth="1"/>
    <col min="4" max="4" width="41.28515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196</v>
      </c>
    </row>
    <row r="2" spans="1:4" x14ac:dyDescent="0.25">
      <c r="A2" t="s">
        <v>3</v>
      </c>
      <c r="B2" s="28" t="s">
        <v>248</v>
      </c>
      <c r="C2" s="29">
        <v>80</v>
      </c>
      <c r="D2" s="28"/>
    </row>
    <row r="3" spans="1:4" x14ac:dyDescent="0.25">
      <c r="A3" t="s">
        <v>4</v>
      </c>
      <c r="B3" s="28" t="s">
        <v>197</v>
      </c>
      <c r="C3" s="29">
        <v>150</v>
      </c>
      <c r="D3" s="28" t="s">
        <v>214</v>
      </c>
    </row>
    <row r="4" spans="1:4" x14ac:dyDescent="0.25">
      <c r="A4" t="s">
        <v>5</v>
      </c>
      <c r="B4" s="28" t="s">
        <v>198</v>
      </c>
      <c r="C4" s="29">
        <v>220</v>
      </c>
      <c r="D4" s="28" t="s">
        <v>215</v>
      </c>
    </row>
    <row r="5" spans="1:4" x14ac:dyDescent="0.25">
      <c r="A5" t="s">
        <v>6</v>
      </c>
      <c r="B5" s="28" t="s">
        <v>199</v>
      </c>
      <c r="C5" s="29">
        <v>180</v>
      </c>
      <c r="D5" s="28" t="s">
        <v>200</v>
      </c>
    </row>
    <row r="6" spans="1:4" x14ac:dyDescent="0.25">
      <c r="A6" t="s">
        <v>7</v>
      </c>
      <c r="B6" s="28" t="s">
        <v>201</v>
      </c>
      <c r="C6" s="29">
        <v>120</v>
      </c>
      <c r="D6" s="28" t="s">
        <v>216</v>
      </c>
    </row>
    <row r="7" spans="1:4" x14ac:dyDescent="0.25">
      <c r="A7" t="s">
        <v>8</v>
      </c>
      <c r="B7" s="28" t="s">
        <v>202</v>
      </c>
      <c r="C7" s="29">
        <v>150</v>
      </c>
      <c r="D7" s="28" t="s">
        <v>217</v>
      </c>
    </row>
    <row r="8" spans="1:4" x14ac:dyDescent="0.25">
      <c r="A8" t="s">
        <v>9</v>
      </c>
      <c r="B8" s="28" t="s">
        <v>218</v>
      </c>
      <c r="C8" s="28" t="s">
        <v>213</v>
      </c>
      <c r="D8" s="28" t="s">
        <v>219</v>
      </c>
    </row>
    <row r="9" spans="1:4" x14ac:dyDescent="0.25">
      <c r="A9" t="s">
        <v>10</v>
      </c>
      <c r="B9" s="28" t="s">
        <v>203</v>
      </c>
      <c r="C9" s="29">
        <v>120</v>
      </c>
      <c r="D9" s="28" t="s">
        <v>220</v>
      </c>
    </row>
    <row r="10" spans="1:4" x14ac:dyDescent="0.25">
      <c r="A10" t="s">
        <v>11</v>
      </c>
      <c r="B10" s="28" t="s">
        <v>208</v>
      </c>
      <c r="C10" s="29">
        <v>100</v>
      </c>
      <c r="D10" s="28" t="s">
        <v>204</v>
      </c>
    </row>
    <row r="11" spans="1:4" x14ac:dyDescent="0.25">
      <c r="A11" t="s">
        <v>12</v>
      </c>
      <c r="B11" s="28" t="s">
        <v>14</v>
      </c>
      <c r="C11" s="29">
        <v>50</v>
      </c>
      <c r="D11" s="28" t="s">
        <v>205</v>
      </c>
    </row>
    <row r="12" spans="1:4" x14ac:dyDescent="0.25">
      <c r="A12" t="s">
        <v>13</v>
      </c>
      <c r="B12" s="28" t="s">
        <v>207</v>
      </c>
      <c r="C12" s="29">
        <v>80</v>
      </c>
      <c r="D12" s="28" t="s">
        <v>221</v>
      </c>
    </row>
    <row r="13" spans="1:4" x14ac:dyDescent="0.25">
      <c r="A13" t="s">
        <v>15</v>
      </c>
      <c r="B13" s="28" t="s">
        <v>209</v>
      </c>
      <c r="C13" s="29">
        <v>30</v>
      </c>
      <c r="D13" s="28" t="s">
        <v>235</v>
      </c>
    </row>
    <row r="14" spans="1:4" x14ac:dyDescent="0.25">
      <c r="A14" t="s">
        <v>17</v>
      </c>
      <c r="B14" s="28" t="s">
        <v>206</v>
      </c>
      <c r="C14" s="29">
        <v>50</v>
      </c>
      <c r="D14" s="28" t="s">
        <v>222</v>
      </c>
    </row>
    <row r="15" spans="1:4" x14ac:dyDescent="0.25">
      <c r="A15" t="s">
        <v>18</v>
      </c>
      <c r="B15" s="28" t="s">
        <v>223</v>
      </c>
      <c r="C15" s="29">
        <v>300</v>
      </c>
      <c r="D15" s="28" t="s">
        <v>224</v>
      </c>
    </row>
    <row r="16" spans="1:4" x14ac:dyDescent="0.25">
      <c r="A16" t="s">
        <v>19</v>
      </c>
      <c r="B16" s="28" t="s">
        <v>210</v>
      </c>
      <c r="C16" s="28" t="s">
        <v>225</v>
      </c>
      <c r="D16" s="28" t="s">
        <v>226</v>
      </c>
    </row>
    <row r="17" spans="1:4" x14ac:dyDescent="0.25">
      <c r="A17" t="s">
        <v>20</v>
      </c>
      <c r="B17" s="28" t="s">
        <v>211</v>
      </c>
      <c r="C17" s="28" t="s">
        <v>227</v>
      </c>
      <c r="D17" s="28" t="s">
        <v>226</v>
      </c>
    </row>
    <row r="18" spans="1:4" x14ac:dyDescent="0.25">
      <c r="A18" t="s">
        <v>21</v>
      </c>
      <c r="B18" s="28" t="s">
        <v>228</v>
      </c>
      <c r="C18" s="28" t="s">
        <v>225</v>
      </c>
      <c r="D18" s="28" t="s">
        <v>229</v>
      </c>
    </row>
    <row r="19" spans="1:4" x14ac:dyDescent="0.25">
      <c r="A19" t="s">
        <v>22</v>
      </c>
      <c r="B19" s="28" t="s">
        <v>230</v>
      </c>
      <c r="C19" s="28" t="s">
        <v>213</v>
      </c>
      <c r="D19" s="28" t="s">
        <v>231</v>
      </c>
    </row>
    <row r="20" spans="1:4" x14ac:dyDescent="0.25">
      <c r="A20" t="s">
        <v>23</v>
      </c>
      <c r="B20" s="28" t="s">
        <v>232</v>
      </c>
      <c r="C20" s="28" t="s">
        <v>213</v>
      </c>
      <c r="D20" s="28" t="s">
        <v>233</v>
      </c>
    </row>
    <row r="21" spans="1:4" x14ac:dyDescent="0.25">
      <c r="A21" t="s">
        <v>24</v>
      </c>
      <c r="B21" s="28" t="s">
        <v>212</v>
      </c>
      <c r="C21" s="28" t="s">
        <v>213</v>
      </c>
      <c r="D21" s="28" t="s">
        <v>234</v>
      </c>
    </row>
    <row r="22" spans="1:4" x14ac:dyDescent="0.25">
      <c r="A22" t="s">
        <v>25</v>
      </c>
      <c r="B22" t="s">
        <v>166</v>
      </c>
      <c r="C22" s="28" t="s">
        <v>236</v>
      </c>
      <c r="D22" s="28" t="s">
        <v>226</v>
      </c>
    </row>
    <row r="23" spans="1:4" x14ac:dyDescent="0.25">
      <c r="A23" t="s">
        <v>26</v>
      </c>
      <c r="B23" t="s">
        <v>191</v>
      </c>
      <c r="C23" s="3">
        <v>150</v>
      </c>
    </row>
    <row r="24" spans="1:4" x14ac:dyDescent="0.25">
      <c r="A24" t="s">
        <v>27</v>
      </c>
      <c r="B24" t="s">
        <v>175</v>
      </c>
      <c r="C24" s="3">
        <v>80</v>
      </c>
    </row>
    <row r="25" spans="1:4" x14ac:dyDescent="0.25">
      <c r="A25" t="s">
        <v>102</v>
      </c>
      <c r="B25" t="s">
        <v>120</v>
      </c>
      <c r="C25" s="3">
        <v>80</v>
      </c>
    </row>
    <row r="26" spans="1:4" x14ac:dyDescent="0.25">
      <c r="A26" t="s">
        <v>131</v>
      </c>
      <c r="B26" t="s">
        <v>16</v>
      </c>
      <c r="C26" s="3">
        <v>70</v>
      </c>
    </row>
    <row r="27" spans="1:4" x14ac:dyDescent="0.25">
      <c r="A27" t="s">
        <v>165</v>
      </c>
      <c r="B27" t="s">
        <v>132</v>
      </c>
      <c r="C27" s="3">
        <v>70</v>
      </c>
    </row>
    <row r="28" spans="1:4" x14ac:dyDescent="0.25">
      <c r="A28" t="s">
        <v>192</v>
      </c>
      <c r="B28" t="s">
        <v>193</v>
      </c>
      <c r="C28" s="3">
        <v>40</v>
      </c>
    </row>
    <row r="29" spans="1:4" x14ac:dyDescent="0.25">
      <c r="A29" t="s">
        <v>254</v>
      </c>
      <c r="B29" t="s">
        <v>249</v>
      </c>
      <c r="C29" s="3">
        <v>60</v>
      </c>
      <c r="D29" t="s">
        <v>250</v>
      </c>
    </row>
    <row r="30" spans="1:4" x14ac:dyDescent="0.25">
      <c r="B30" t="s">
        <v>57</v>
      </c>
    </row>
    <row r="31" spans="1:4" x14ac:dyDescent="0.25">
      <c r="A31" s="21" t="s">
        <v>28</v>
      </c>
      <c r="B31" s="21" t="s">
        <v>29</v>
      </c>
      <c r="C31" s="22">
        <v>100</v>
      </c>
    </row>
    <row r="32" spans="1:4" x14ac:dyDescent="0.25">
      <c r="A32" s="21" t="s">
        <v>30</v>
      </c>
      <c r="B32" s="21" t="s">
        <v>31</v>
      </c>
      <c r="C32" s="22">
        <v>110</v>
      </c>
    </row>
    <row r="33" spans="1:3" x14ac:dyDescent="0.25">
      <c r="A33" t="s">
        <v>32</v>
      </c>
      <c r="B33" t="s">
        <v>33</v>
      </c>
      <c r="C33" s="3">
        <v>3</v>
      </c>
    </row>
    <row r="34" spans="1:3" x14ac:dyDescent="0.25">
      <c r="A34" s="21" t="s">
        <v>34</v>
      </c>
      <c r="B34" s="21" t="s">
        <v>35</v>
      </c>
      <c r="C34" s="22">
        <v>120</v>
      </c>
    </row>
    <row r="35" spans="1:3" x14ac:dyDescent="0.25">
      <c r="A35" s="21" t="s">
        <v>55</v>
      </c>
      <c r="B35" s="21" t="s">
        <v>56</v>
      </c>
      <c r="C35" s="22">
        <v>40</v>
      </c>
    </row>
    <row r="36" spans="1:3" x14ac:dyDescent="0.25">
      <c r="A36" s="21" t="s">
        <v>85</v>
      </c>
      <c r="B36" s="21" t="s">
        <v>86</v>
      </c>
      <c r="C36" s="22">
        <v>240</v>
      </c>
    </row>
    <row r="37" spans="1:3" x14ac:dyDescent="0.25">
      <c r="A37" t="s">
        <v>87</v>
      </c>
      <c r="B37" t="s">
        <v>88</v>
      </c>
      <c r="C37" s="3">
        <v>15</v>
      </c>
    </row>
    <row r="38" spans="1:3" x14ac:dyDescent="0.25">
      <c r="A38" t="s">
        <v>92</v>
      </c>
      <c r="B38" t="s">
        <v>93</v>
      </c>
      <c r="C38" s="3">
        <v>350</v>
      </c>
    </row>
    <row r="39" spans="1:3" x14ac:dyDescent="0.25">
      <c r="A39" s="21" t="s">
        <v>97</v>
      </c>
      <c r="B39" s="21" t="s">
        <v>98</v>
      </c>
      <c r="C39" s="22">
        <v>120</v>
      </c>
    </row>
    <row r="40" spans="1:3" x14ac:dyDescent="0.25">
      <c r="A40" s="21" t="s">
        <v>115</v>
      </c>
      <c r="B40" s="21" t="s">
        <v>116</v>
      </c>
      <c r="C40" s="22">
        <v>150</v>
      </c>
    </row>
    <row r="41" spans="1:3" x14ac:dyDescent="0.25">
      <c r="A41" s="23" t="s">
        <v>121</v>
      </c>
      <c r="B41" s="23" t="s">
        <v>122</v>
      </c>
      <c r="C41" s="24">
        <v>15</v>
      </c>
    </row>
    <row r="42" spans="1:3" x14ac:dyDescent="0.25">
      <c r="A42" t="s">
        <v>123</v>
      </c>
      <c r="B42" t="s">
        <v>124</v>
      </c>
      <c r="C42" s="3">
        <v>60</v>
      </c>
    </row>
    <row r="43" spans="1:3" x14ac:dyDescent="0.25">
      <c r="A43" s="21" t="s">
        <v>143</v>
      </c>
      <c r="B43" s="21" t="s">
        <v>144</v>
      </c>
      <c r="C43" s="22">
        <v>150</v>
      </c>
    </row>
    <row r="44" spans="1:3" x14ac:dyDescent="0.25">
      <c r="A44" s="21" t="s">
        <v>151</v>
      </c>
      <c r="B44" s="21" t="s">
        <v>152</v>
      </c>
      <c r="C44" s="22">
        <v>60</v>
      </c>
    </row>
    <row r="45" spans="1:3" x14ac:dyDescent="0.25">
      <c r="A45" s="21" t="s">
        <v>153</v>
      </c>
      <c r="B45" s="21" t="s">
        <v>154</v>
      </c>
      <c r="C45" s="22">
        <v>40</v>
      </c>
    </row>
    <row r="46" spans="1:3" x14ac:dyDescent="0.25">
      <c r="A46" s="21" t="s">
        <v>161</v>
      </c>
      <c r="B46" s="21" t="s">
        <v>162</v>
      </c>
      <c r="C46" s="22">
        <v>130</v>
      </c>
    </row>
    <row r="47" spans="1:3" x14ac:dyDescent="0.25">
      <c r="A47" s="21" t="s">
        <v>163</v>
      </c>
      <c r="B47" s="21" t="s">
        <v>164</v>
      </c>
      <c r="C47" s="22">
        <v>50</v>
      </c>
    </row>
    <row r="48" spans="1:3" x14ac:dyDescent="0.25">
      <c r="A48" s="21" t="s">
        <v>171</v>
      </c>
      <c r="B48" s="21" t="s">
        <v>172</v>
      </c>
      <c r="C48" s="22">
        <v>80</v>
      </c>
    </row>
    <row r="49" spans="1:4" x14ac:dyDescent="0.25">
      <c r="A49" s="21" t="s">
        <v>173</v>
      </c>
      <c r="B49" s="21" t="s">
        <v>174</v>
      </c>
      <c r="C49" s="22">
        <v>120</v>
      </c>
    </row>
    <row r="50" spans="1:4" x14ac:dyDescent="0.25">
      <c r="A50" s="21" t="s">
        <v>179</v>
      </c>
      <c r="B50" s="21" t="s">
        <v>180</v>
      </c>
      <c r="C50" s="22">
        <v>60</v>
      </c>
    </row>
    <row r="51" spans="1:4" x14ac:dyDescent="0.25">
      <c r="A51" s="21" t="s">
        <v>184</v>
      </c>
      <c r="B51" s="21" t="s">
        <v>185</v>
      </c>
      <c r="C51" s="3">
        <v>60</v>
      </c>
    </row>
    <row r="52" spans="1:4" x14ac:dyDescent="0.25">
      <c r="A52" s="21" t="s">
        <v>186</v>
      </c>
      <c r="B52" s="21" t="s">
        <v>187</v>
      </c>
      <c r="C52" s="3">
        <v>160</v>
      </c>
    </row>
    <row r="53" spans="1:4" x14ac:dyDescent="0.25">
      <c r="A53" s="21" t="s">
        <v>194</v>
      </c>
      <c r="B53" s="21" t="s">
        <v>195</v>
      </c>
      <c r="C53" s="3">
        <v>30</v>
      </c>
    </row>
    <row r="54" spans="1:4" x14ac:dyDescent="0.25">
      <c r="A54" s="21"/>
    </row>
    <row r="55" spans="1:4" ht="15.75" x14ac:dyDescent="0.25">
      <c r="A55" s="44" t="s">
        <v>237</v>
      </c>
      <c r="B55" s="44"/>
    </row>
    <row r="56" spans="1:4" x14ac:dyDescent="0.25">
      <c r="A56" s="23" t="s">
        <v>167</v>
      </c>
      <c r="B56" t="s">
        <v>238</v>
      </c>
      <c r="C56" s="31" t="s">
        <v>240</v>
      </c>
      <c r="D56" s="3"/>
    </row>
    <row r="57" spans="1:4" x14ac:dyDescent="0.25">
      <c r="A57" s="23" t="s">
        <v>241</v>
      </c>
      <c r="B57" t="s">
        <v>239</v>
      </c>
      <c r="C57" s="31" t="s">
        <v>247</v>
      </c>
      <c r="D57" s="3"/>
    </row>
    <row r="58" spans="1:4" x14ac:dyDescent="0.25">
      <c r="A58" s="23" t="s">
        <v>242</v>
      </c>
      <c r="B58" t="s">
        <v>255</v>
      </c>
      <c r="C58" s="31" t="s">
        <v>246</v>
      </c>
      <c r="D58" s="3"/>
    </row>
  </sheetData>
  <mergeCells count="1">
    <mergeCell ref="A55:B55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DCA-FF83-4C38-A880-00886D80490F}">
  <dimension ref="B1:F40"/>
  <sheetViews>
    <sheetView tabSelected="1" topLeftCell="A25" zoomScaleNormal="100" workbookViewId="0">
      <selection activeCell="B1" sqref="B1:F40"/>
    </sheetView>
  </sheetViews>
  <sheetFormatPr defaultRowHeight="15" x14ac:dyDescent="0.25"/>
  <cols>
    <col min="1" max="1" width="0.85546875" customWidth="1"/>
    <col min="2" max="2" width="10.5703125" customWidth="1"/>
    <col min="3" max="3" width="41.85546875" customWidth="1"/>
    <col min="4" max="4" width="14.140625" bestFit="1" customWidth="1"/>
    <col min="5" max="5" width="13.5703125" customWidth="1"/>
    <col min="6" max="6" width="15" bestFit="1" customWidth="1"/>
  </cols>
  <sheetData>
    <row r="1" spans="2:6" x14ac:dyDescent="0.25">
      <c r="B1" s="41"/>
      <c r="C1" s="41"/>
      <c r="D1" s="41"/>
      <c r="E1" s="41"/>
      <c r="F1" s="41"/>
    </row>
    <row r="2" spans="2:6" x14ac:dyDescent="0.25">
      <c r="B2" s="41"/>
      <c r="C2" s="41"/>
      <c r="D2" s="41"/>
      <c r="E2" s="41"/>
      <c r="F2" s="41"/>
    </row>
    <row r="3" spans="2:6" x14ac:dyDescent="0.25">
      <c r="B3" s="41"/>
      <c r="C3" s="41"/>
      <c r="D3" s="41"/>
      <c r="E3" s="41"/>
      <c r="F3" s="41"/>
    </row>
    <row r="4" spans="2:6" x14ac:dyDescent="0.25">
      <c r="B4" s="41"/>
      <c r="C4" s="41"/>
      <c r="D4" s="41"/>
      <c r="E4" s="41"/>
      <c r="F4" s="41"/>
    </row>
    <row r="5" spans="2:6" x14ac:dyDescent="0.25">
      <c r="B5" s="41"/>
      <c r="C5" s="41"/>
      <c r="D5" s="41"/>
      <c r="E5" s="41"/>
      <c r="F5" s="41"/>
    </row>
    <row r="6" spans="2:6" x14ac:dyDescent="0.25">
      <c r="B6" s="41"/>
      <c r="C6" s="41"/>
      <c r="D6" s="41"/>
      <c r="E6" s="41"/>
      <c r="F6" s="41"/>
    </row>
    <row r="7" spans="2:6" x14ac:dyDescent="0.25">
      <c r="B7" s="41"/>
      <c r="C7" s="41"/>
      <c r="D7" s="41"/>
      <c r="E7" s="41"/>
      <c r="F7" s="41"/>
    </row>
    <row r="8" spans="2:6" x14ac:dyDescent="0.25">
      <c r="B8" s="41"/>
      <c r="C8" s="41"/>
      <c r="D8" s="41"/>
      <c r="E8" s="41"/>
      <c r="F8" s="41"/>
    </row>
    <row r="9" spans="2:6" x14ac:dyDescent="0.25">
      <c r="B9" s="41"/>
      <c r="C9" s="41"/>
      <c r="D9" s="41"/>
      <c r="E9" s="41"/>
      <c r="F9" s="41"/>
    </row>
    <row r="10" spans="2:6" ht="15.75" thickBot="1" x14ac:dyDescent="0.3">
      <c r="B10" s="4" t="s">
        <v>36</v>
      </c>
      <c r="C10" s="5"/>
      <c r="D10" s="6"/>
    </row>
    <row r="11" spans="2:6" x14ac:dyDescent="0.25">
      <c r="B11" s="13" t="s">
        <v>37</v>
      </c>
      <c r="C11" s="13" t="s">
        <v>38</v>
      </c>
      <c r="D11" s="25" t="s">
        <v>59</v>
      </c>
      <c r="E11" s="14" t="s">
        <v>39</v>
      </c>
      <c r="F11" s="14" t="s">
        <v>40</v>
      </c>
    </row>
    <row r="12" spans="2:6" x14ac:dyDescent="0.25">
      <c r="B12" s="7">
        <f ca="1">TODAY()</f>
        <v>46150</v>
      </c>
      <c r="C12" s="7" t="str">
        <f>VLOOKUP(D12,Clientes!A:C,2,0)</f>
        <v>Sandra Vilasante</v>
      </c>
      <c r="D12" s="8" t="s">
        <v>251</v>
      </c>
      <c r="E12" s="20" t="str">
        <f>VLOOKUP(D12,Clientes!A:C,3,0)</f>
        <v>(47) 99660-0320</v>
      </c>
      <c r="F12" s="26">
        <v>46150</v>
      </c>
    </row>
    <row r="13" spans="2:6" ht="15.75" thickBot="1" x14ac:dyDescent="0.3">
      <c r="B13" s="18"/>
      <c r="D13" s="18"/>
    </row>
    <row r="14" spans="2:6" ht="15.75" thickBot="1" x14ac:dyDescent="0.3">
      <c r="B14" s="15" t="s">
        <v>0</v>
      </c>
      <c r="C14" s="16" t="s">
        <v>1</v>
      </c>
      <c r="D14" s="16" t="s">
        <v>43</v>
      </c>
      <c r="E14" s="27" t="s">
        <v>44</v>
      </c>
      <c r="F14" s="17" t="s">
        <v>45</v>
      </c>
    </row>
    <row r="15" spans="2:6" x14ac:dyDescent="0.25">
      <c r="B15" s="9" t="s">
        <v>254</v>
      </c>
      <c r="C15" s="9" t="str">
        <f>VLOOKUP(B15,Serviços!A:C,2,0)</f>
        <v>Suporte Técnico</v>
      </c>
      <c r="D15" s="9">
        <v>1</v>
      </c>
      <c r="E15" s="10">
        <f>VLOOKUP(B15,Serviços!A:C,3,0)</f>
        <v>60</v>
      </c>
      <c r="F15" s="10">
        <f t="shared" ref="F15:F23" si="0">IF(OR(B15="",D15=""),"",D15*E15)</f>
        <v>60</v>
      </c>
    </row>
    <row r="16" spans="2:6" x14ac:dyDescent="0.25">
      <c r="B16" s="9"/>
      <c r="C16" s="9"/>
      <c r="D16" s="9"/>
      <c r="E16" s="10"/>
      <c r="F16" s="10"/>
    </row>
    <row r="17" spans="2:6" x14ac:dyDescent="0.25">
      <c r="B17" s="9"/>
      <c r="C17" s="9"/>
      <c r="D17" s="9"/>
      <c r="E17" s="10"/>
      <c r="F17" s="10"/>
    </row>
    <row r="18" spans="2:6" x14ac:dyDescent="0.25">
      <c r="B18" s="10"/>
      <c r="C18" s="9"/>
      <c r="D18" s="9"/>
      <c r="E18" s="10"/>
      <c r="F18" s="10"/>
    </row>
    <row r="19" spans="2:6" x14ac:dyDescent="0.25">
      <c r="B19" s="11"/>
      <c r="C19" s="9"/>
      <c r="D19" s="9"/>
      <c r="E19" s="10"/>
      <c r="F19" s="10"/>
    </row>
    <row r="20" spans="2:6" x14ac:dyDescent="0.25">
      <c r="B20" s="11" t="s">
        <v>241</v>
      </c>
      <c r="C20" s="9" t="str">
        <f>VLOOKUP(B20,Serviços!A:C,2,0)</f>
        <v>Pagamento via PIX</v>
      </c>
      <c r="D20" s="9">
        <v>1</v>
      </c>
      <c r="E20" s="10" t="str">
        <f>VLOOKUP(B20,Serviços!A:C,3,0)</f>
        <v>2%</v>
      </c>
      <c r="F20" s="10">
        <f>IF(LEFT(B20,1)="D",SUM($F$15:F19)*E20,D20*E20)</f>
        <v>1.2</v>
      </c>
    </row>
    <row r="21" spans="2:6" x14ac:dyDescent="0.25">
      <c r="B21" s="11"/>
      <c r="C21" s="9"/>
      <c r="D21" s="9"/>
      <c r="E21" s="10"/>
      <c r="F21" s="10"/>
    </row>
    <row r="22" spans="2:6" x14ac:dyDescent="0.25">
      <c r="B22" s="10" t="s">
        <v>242</v>
      </c>
      <c r="C22" s="9" t="str">
        <f>VLOOKUP(B22,Serviços!A:C,2,0)</f>
        <v>Datas comemorativas (Dia das Mães)</v>
      </c>
      <c r="D22" s="9">
        <v>1</v>
      </c>
      <c r="E22" s="10" t="str">
        <f>VLOOKUP(B22,Serviços!A:C,3,0)</f>
        <v>7%</v>
      </c>
      <c r="F22" s="10">
        <f>IF(LEFT(B22,1)="D",SUM($F$15:F21)*E22,D22*E22)</f>
        <v>4.2840000000000007</v>
      </c>
    </row>
    <row r="23" spans="2:6" x14ac:dyDescent="0.25">
      <c r="B23" s="11"/>
      <c r="C23" s="9"/>
      <c r="D23" s="11"/>
      <c r="E23" s="10" t="s">
        <v>63</v>
      </c>
      <c r="F23" s="10" t="str">
        <f t="shared" si="0"/>
        <v/>
      </c>
    </row>
    <row r="24" spans="2:6" x14ac:dyDescent="0.25">
      <c r="B24" s="42" t="s">
        <v>244</v>
      </c>
      <c r="C24" s="42"/>
      <c r="D24" s="42"/>
      <c r="E24" s="42"/>
      <c r="F24" s="30">
        <f>SUM(F15:F19)</f>
        <v>60</v>
      </c>
    </row>
    <row r="25" spans="2:6" x14ac:dyDescent="0.25">
      <c r="B25" s="42" t="s">
        <v>245</v>
      </c>
      <c r="C25" s="42"/>
      <c r="D25" s="42"/>
      <c r="E25" s="42"/>
      <c r="F25" s="30">
        <f>SUMIF(B15:B24,"D*",F15:F24)</f>
        <v>5.4840000000000009</v>
      </c>
    </row>
    <row r="26" spans="2:6" ht="15.75" x14ac:dyDescent="0.25">
      <c r="B26" s="42" t="s">
        <v>243</v>
      </c>
      <c r="C26" s="42"/>
      <c r="D26" s="42"/>
      <c r="E26" s="42"/>
      <c r="F26" s="12">
        <f>SUM(F24-F25)</f>
        <v>54.515999999999998</v>
      </c>
    </row>
    <row r="28" spans="2:6" ht="24" x14ac:dyDescent="0.25">
      <c r="C28" s="18"/>
      <c r="E28" s="19"/>
      <c r="F28" s="19"/>
    </row>
    <row r="29" spans="2:6" ht="15" customHeight="1" x14ac:dyDescent="0.25">
      <c r="C29" s="43" t="s">
        <v>133</v>
      </c>
      <c r="D29" s="43"/>
      <c r="E29" s="19"/>
      <c r="F29" s="19"/>
    </row>
    <row r="30" spans="2:6" ht="15" customHeight="1" x14ac:dyDescent="0.25">
      <c r="C30" s="43"/>
      <c r="D30" s="43"/>
      <c r="E30" s="19"/>
      <c r="F30" s="19"/>
    </row>
    <row r="31" spans="2:6" ht="15" customHeight="1" x14ac:dyDescent="0.25">
      <c r="C31" s="43"/>
      <c r="D31" s="43"/>
      <c r="E31" s="19"/>
      <c r="F31" s="19"/>
    </row>
    <row r="32" spans="2:6" ht="15" customHeight="1" x14ac:dyDescent="0.25">
      <c r="C32" s="43"/>
      <c r="D32" s="43"/>
    </row>
    <row r="34" spans="2:6" x14ac:dyDescent="0.25">
      <c r="B34" s="1" t="s">
        <v>46</v>
      </c>
    </row>
    <row r="35" spans="2:6" x14ac:dyDescent="0.25">
      <c r="B35" s="32" t="s">
        <v>256</v>
      </c>
      <c r="C35" s="33"/>
      <c r="D35" s="33"/>
      <c r="E35" s="33"/>
      <c r="F35" s="34"/>
    </row>
    <row r="36" spans="2:6" ht="15" customHeight="1" x14ac:dyDescent="0.25">
      <c r="B36" s="35"/>
      <c r="C36" s="36"/>
      <c r="D36" s="36"/>
      <c r="E36" s="36"/>
      <c r="F36" s="37"/>
    </row>
    <row r="37" spans="2:6" x14ac:dyDescent="0.25">
      <c r="B37" s="35"/>
      <c r="C37" s="36"/>
      <c r="D37" s="36"/>
      <c r="E37" s="36"/>
      <c r="F37" s="37"/>
    </row>
    <row r="38" spans="2:6" x14ac:dyDescent="0.25">
      <c r="B38" s="35"/>
      <c r="C38" s="36"/>
      <c r="D38" s="36"/>
      <c r="E38" s="36"/>
      <c r="F38" s="37"/>
    </row>
    <row r="39" spans="2:6" x14ac:dyDescent="0.25">
      <c r="B39" s="35"/>
      <c r="C39" s="36"/>
      <c r="D39" s="36"/>
      <c r="E39" s="36"/>
      <c r="F39" s="37"/>
    </row>
    <row r="40" spans="2:6" x14ac:dyDescent="0.25">
      <c r="B40" s="38"/>
      <c r="C40" s="39"/>
      <c r="D40" s="39"/>
      <c r="E40" s="39"/>
      <c r="F40" s="40"/>
    </row>
  </sheetData>
  <mergeCells count="6">
    <mergeCell ref="B35:F40"/>
    <mergeCell ref="B1:F9"/>
    <mergeCell ref="B26:E26"/>
    <mergeCell ref="C29:D32"/>
    <mergeCell ref="B24:E24"/>
    <mergeCell ref="B25:E25"/>
  </mergeCells>
  <pageMargins left="0.2" right="0.3" top="0.41" bottom="0.0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6A04-32B2-4918-9E23-374A34C08471}">
  <dimension ref="A1:C34"/>
  <sheetViews>
    <sheetView topLeftCell="A15" workbookViewId="0">
      <selection activeCell="A35" sqref="A35"/>
    </sheetView>
  </sheetViews>
  <sheetFormatPr defaultRowHeight="15" x14ac:dyDescent="0.25"/>
  <cols>
    <col min="1" max="1" width="9.140625" style="18"/>
    <col min="2" max="2" width="30.28515625" style="18" bestFit="1" customWidth="1"/>
    <col min="3" max="3" width="17.85546875" style="18" customWidth="1"/>
  </cols>
  <sheetData>
    <row r="1" spans="1:3" x14ac:dyDescent="0.25">
      <c r="A1" s="18" t="s">
        <v>48</v>
      </c>
      <c r="B1" s="18" t="s">
        <v>47</v>
      </c>
      <c r="C1" s="18" t="s">
        <v>39</v>
      </c>
    </row>
    <row r="2" spans="1:3" x14ac:dyDescent="0.25">
      <c r="A2" s="18" t="s">
        <v>51</v>
      </c>
      <c r="B2" s="18" t="s">
        <v>49</v>
      </c>
      <c r="C2" s="18" t="s">
        <v>50</v>
      </c>
    </row>
    <row r="3" spans="1:3" x14ac:dyDescent="0.25">
      <c r="A3" s="18" t="s">
        <v>54</v>
      </c>
      <c r="B3" s="18" t="s">
        <v>52</v>
      </c>
      <c r="C3" s="18" t="s">
        <v>53</v>
      </c>
    </row>
    <row r="4" spans="1:3" x14ac:dyDescent="0.25">
      <c r="A4" s="18" t="s">
        <v>58</v>
      </c>
      <c r="B4" s="18" t="s">
        <v>41</v>
      </c>
      <c r="C4" s="18" t="s">
        <v>42</v>
      </c>
    </row>
    <row r="5" spans="1:3" x14ac:dyDescent="0.25">
      <c r="A5" s="18" t="s">
        <v>60</v>
      </c>
      <c r="B5" s="18" t="s">
        <v>61</v>
      </c>
      <c r="C5" s="18" t="s">
        <v>62</v>
      </c>
    </row>
    <row r="6" spans="1:3" x14ac:dyDescent="0.25">
      <c r="A6" s="18" t="s">
        <v>64</v>
      </c>
      <c r="B6" s="18" t="s">
        <v>65</v>
      </c>
      <c r="C6" s="18" t="s">
        <v>68</v>
      </c>
    </row>
    <row r="7" spans="1:3" x14ac:dyDescent="0.25">
      <c r="A7" s="18" t="s">
        <v>66</v>
      </c>
      <c r="B7" s="18" t="s">
        <v>67</v>
      </c>
      <c r="C7" s="18" t="s">
        <v>69</v>
      </c>
    </row>
    <row r="8" spans="1:3" x14ac:dyDescent="0.25">
      <c r="A8" s="18" t="s">
        <v>70</v>
      </c>
      <c r="B8" s="18" t="s">
        <v>71</v>
      </c>
      <c r="C8" s="18" t="s">
        <v>72</v>
      </c>
    </row>
    <row r="9" spans="1:3" x14ac:dyDescent="0.25">
      <c r="A9" s="18" t="s">
        <v>73</v>
      </c>
      <c r="B9" s="18" t="s">
        <v>74</v>
      </c>
      <c r="C9" s="18" t="s">
        <v>75</v>
      </c>
    </row>
    <row r="10" spans="1:3" x14ac:dyDescent="0.25">
      <c r="A10" s="18" t="s">
        <v>76</v>
      </c>
      <c r="B10" s="18" t="s">
        <v>77</v>
      </c>
      <c r="C10" s="18" t="s">
        <v>78</v>
      </c>
    </row>
    <row r="11" spans="1:3" x14ac:dyDescent="0.25">
      <c r="A11" s="18" t="s">
        <v>79</v>
      </c>
      <c r="B11" s="18" t="s">
        <v>80</v>
      </c>
      <c r="C11" s="18" t="s">
        <v>81</v>
      </c>
    </row>
    <row r="12" spans="1:3" x14ac:dyDescent="0.25">
      <c r="A12" s="18" t="s">
        <v>82</v>
      </c>
      <c r="B12" s="18" t="s">
        <v>83</v>
      </c>
      <c r="C12" s="18" t="s">
        <v>84</v>
      </c>
    </row>
    <row r="13" spans="1:3" x14ac:dyDescent="0.25">
      <c r="A13" s="18" t="s">
        <v>89</v>
      </c>
      <c r="B13" s="18" t="s">
        <v>90</v>
      </c>
      <c r="C13" s="18" t="s">
        <v>91</v>
      </c>
    </row>
    <row r="14" spans="1:3" x14ac:dyDescent="0.25">
      <c r="A14" s="18" t="s">
        <v>94</v>
      </c>
      <c r="B14" s="18" t="s">
        <v>95</v>
      </c>
      <c r="C14" s="18" t="s">
        <v>96</v>
      </c>
    </row>
    <row r="15" spans="1:3" x14ac:dyDescent="0.25">
      <c r="A15" s="18" t="s">
        <v>99</v>
      </c>
      <c r="B15" s="18" t="s">
        <v>100</v>
      </c>
      <c r="C15" s="18" t="s">
        <v>101</v>
      </c>
    </row>
    <row r="16" spans="1:3" x14ac:dyDescent="0.25">
      <c r="A16" s="18" t="s">
        <v>103</v>
      </c>
      <c r="B16" s="18" t="s">
        <v>104</v>
      </c>
      <c r="C16" s="18" t="s">
        <v>105</v>
      </c>
    </row>
    <row r="17" spans="1:3" x14ac:dyDescent="0.25">
      <c r="A17" s="18" t="s">
        <v>106</v>
      </c>
      <c r="B17" s="18" t="s">
        <v>107</v>
      </c>
      <c r="C17" s="18" t="s">
        <v>108</v>
      </c>
    </row>
    <row r="18" spans="1:3" x14ac:dyDescent="0.25">
      <c r="A18" s="18" t="s">
        <v>109</v>
      </c>
      <c r="B18" s="18" t="s">
        <v>110</v>
      </c>
      <c r="C18" s="18" t="s">
        <v>111</v>
      </c>
    </row>
    <row r="19" spans="1:3" x14ac:dyDescent="0.25">
      <c r="A19" s="18" t="s">
        <v>112</v>
      </c>
      <c r="B19" s="18" t="s">
        <v>113</v>
      </c>
      <c r="C19" s="18" t="s">
        <v>114</v>
      </c>
    </row>
    <row r="20" spans="1:3" x14ac:dyDescent="0.25">
      <c r="A20" s="18" t="s">
        <v>117</v>
      </c>
      <c r="B20" s="18" t="s">
        <v>118</v>
      </c>
      <c r="C20" s="18" t="s">
        <v>119</v>
      </c>
    </row>
    <row r="21" spans="1:3" x14ac:dyDescent="0.25">
      <c r="A21" s="18" t="s">
        <v>125</v>
      </c>
      <c r="B21" s="18" t="s">
        <v>126</v>
      </c>
      <c r="C21" s="18" t="s">
        <v>127</v>
      </c>
    </row>
    <row r="22" spans="1:3" x14ac:dyDescent="0.25">
      <c r="A22" s="18" t="s">
        <v>128</v>
      </c>
      <c r="B22" s="18" t="s">
        <v>129</v>
      </c>
      <c r="C22" s="18" t="s">
        <v>130</v>
      </c>
    </row>
    <row r="23" spans="1:3" x14ac:dyDescent="0.25">
      <c r="A23" s="18" t="s">
        <v>134</v>
      </c>
      <c r="B23" s="18" t="s">
        <v>135</v>
      </c>
      <c r="C23" s="18" t="s">
        <v>136</v>
      </c>
    </row>
    <row r="24" spans="1:3" x14ac:dyDescent="0.25">
      <c r="A24" s="18" t="s">
        <v>137</v>
      </c>
      <c r="B24" s="18" t="s">
        <v>138</v>
      </c>
      <c r="C24" s="18" t="s">
        <v>139</v>
      </c>
    </row>
    <row r="25" spans="1:3" x14ac:dyDescent="0.25">
      <c r="A25" s="18" t="s">
        <v>140</v>
      </c>
      <c r="B25" s="18" t="s">
        <v>141</v>
      </c>
      <c r="C25" s="18" t="s">
        <v>142</v>
      </c>
    </row>
    <row r="26" spans="1:3" x14ac:dyDescent="0.25">
      <c r="A26" s="18" t="s">
        <v>145</v>
      </c>
      <c r="B26" s="18" t="s">
        <v>150</v>
      </c>
      <c r="C26" s="18" t="s">
        <v>149</v>
      </c>
    </row>
    <row r="27" spans="1:3" x14ac:dyDescent="0.25">
      <c r="A27" s="18" t="s">
        <v>147</v>
      </c>
      <c r="B27" s="18" t="s">
        <v>148</v>
      </c>
      <c r="C27" s="18" t="s">
        <v>146</v>
      </c>
    </row>
    <row r="28" spans="1:3" x14ac:dyDescent="0.25">
      <c r="A28" s="18" t="s">
        <v>155</v>
      </c>
      <c r="B28" s="18" t="s">
        <v>156</v>
      </c>
      <c r="C28" s="18" t="s">
        <v>157</v>
      </c>
    </row>
    <row r="29" spans="1:3" x14ac:dyDescent="0.25">
      <c r="A29" s="18" t="s">
        <v>158</v>
      </c>
      <c r="B29" s="18" t="s">
        <v>159</v>
      </c>
      <c r="C29" s="18" t="s">
        <v>160</v>
      </c>
    </row>
    <row r="30" spans="1:3" x14ac:dyDescent="0.25">
      <c r="A30" s="18" t="s">
        <v>168</v>
      </c>
      <c r="B30" s="18" t="s">
        <v>169</v>
      </c>
      <c r="C30" s="18" t="s">
        <v>170</v>
      </c>
    </row>
    <row r="31" spans="1:3" x14ac:dyDescent="0.25">
      <c r="A31" s="18" t="s">
        <v>176</v>
      </c>
      <c r="B31" s="18" t="s">
        <v>177</v>
      </c>
      <c r="C31" s="18" t="s">
        <v>178</v>
      </c>
    </row>
    <row r="32" spans="1:3" x14ac:dyDescent="0.25">
      <c r="A32" s="18" t="s">
        <v>181</v>
      </c>
      <c r="B32" s="18" t="s">
        <v>182</v>
      </c>
      <c r="C32" s="18" t="s">
        <v>183</v>
      </c>
    </row>
    <row r="33" spans="1:3" x14ac:dyDescent="0.25">
      <c r="A33" s="18" t="s">
        <v>188</v>
      </c>
      <c r="B33" s="18" t="s">
        <v>189</v>
      </c>
      <c r="C33" s="18" t="s">
        <v>190</v>
      </c>
    </row>
    <row r="34" spans="1:3" x14ac:dyDescent="0.25">
      <c r="A34" s="18" t="s">
        <v>251</v>
      </c>
      <c r="B34" s="18" t="s">
        <v>252</v>
      </c>
      <c r="C34" s="18" t="s">
        <v>253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Serviços</vt:lpstr>
      <vt:lpstr>Ordem de Serviço</vt:lpstr>
      <vt:lpstr>Clientes</vt:lpstr>
      <vt:lpstr>'Ordem de Serviço'!Area_de_impressao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Lucas Amarante</cp:lastModifiedBy>
  <cp:lastPrinted>2026-05-08T12:42:58Z</cp:lastPrinted>
  <dcterms:created xsi:type="dcterms:W3CDTF">2025-11-11T23:18:54Z</dcterms:created>
  <dcterms:modified xsi:type="dcterms:W3CDTF">2026-05-08T13:37:28Z</dcterms:modified>
</cp:coreProperties>
</file>